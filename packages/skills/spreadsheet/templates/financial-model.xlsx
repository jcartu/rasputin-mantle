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>
    <definedName name="Revenue">'P&amp;L'!$B$2:$G$2</definedName>
    <definedName name="NetIncome">'P&amp;L'!$B$6:$G$6</definedName>
    <definedName name="CashBalance">'Balance Sheet'!$C$2:$H$2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8F0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</row>
    <row r="2">
      <c r="A2" s="2" t="inlineStr">
        <is>
          <t>Revenue</t>
        </is>
      </c>
      <c r="B2" s="2" t="n">
        <v>120000</v>
      </c>
      <c r="C2" s="2" t="n">
        <v>132000</v>
      </c>
      <c r="D2" s="2" t="n">
        <v>145000</v>
      </c>
      <c r="E2" s="2" t="n">
        <v>151000</v>
      </c>
      <c r="F2" s="2" t="n">
        <v>164000</v>
      </c>
      <c r="G2" s="2" t="n">
        <v>178000</v>
      </c>
      <c r="H2" s="2">
        <f>SUM(B2:G2)</f>
        <v/>
      </c>
    </row>
    <row r="3">
      <c r="A3" s="2" t="inlineStr">
        <is>
          <t>Cost of Goods Sold</t>
        </is>
      </c>
      <c r="B3" s="2" t="n">
        <v>-36000</v>
      </c>
      <c r="C3" s="2" t="n">
        <v>-39800</v>
      </c>
      <c r="D3" s="2" t="n">
        <v>-43500</v>
      </c>
      <c r="E3" s="2" t="n">
        <v>-45300</v>
      </c>
      <c r="F3" s="2" t="n">
        <v>-49200</v>
      </c>
      <c r="G3" s="2" t="n">
        <v>-53400</v>
      </c>
      <c r="H3" s="2">
        <f>SUM(B3:G3)</f>
        <v/>
      </c>
    </row>
    <row r="4">
      <c r="A4" s="2" t="inlineStr">
        <is>
          <t>Gross Profit</t>
        </is>
      </c>
      <c r="B4" s="2">
        <f>B2+B3</f>
        <v/>
      </c>
      <c r="C4" s="2">
        <f>C2+C3</f>
        <v/>
      </c>
      <c r="D4" s="2">
        <f>D2+D3</f>
        <v/>
      </c>
      <c r="E4" s="2">
        <f>E2+E3</f>
        <v/>
      </c>
      <c r="F4" s="2">
        <f>F2+F3</f>
        <v/>
      </c>
      <c r="G4" s="2">
        <f>G2+G3</f>
        <v/>
      </c>
      <c r="H4" s="2">
        <f>SUM(B4:G4)</f>
        <v/>
      </c>
    </row>
    <row r="5">
      <c r="A5" s="2" t="inlineStr">
        <is>
          <t>Operating Expenses</t>
        </is>
      </c>
      <c r="B5" s="2" t="n">
        <v>-52000</v>
      </c>
      <c r="C5" s="2" t="n">
        <v>-54000</v>
      </c>
      <c r="D5" s="2" t="n">
        <v>-56000</v>
      </c>
      <c r="E5" s="2" t="n">
        <v>-58500</v>
      </c>
      <c r="F5" s="2" t="n">
        <v>-60000</v>
      </c>
      <c r="G5" s="2" t="n">
        <v>-62000</v>
      </c>
      <c r="H5" s="2">
        <f>SUM(B5:G5)</f>
        <v/>
      </c>
    </row>
    <row r="6">
      <c r="A6" s="3" t="inlineStr">
        <is>
          <t>Net Income</t>
        </is>
      </c>
      <c r="B6" s="3">
        <f>B4+B5</f>
        <v/>
      </c>
      <c r="C6" s="3">
        <f>C4+C5</f>
        <v/>
      </c>
      <c r="D6" s="3">
        <f>D4+D5</f>
        <v/>
      </c>
      <c r="E6" s="3">
        <f>E4+E5</f>
        <v/>
      </c>
      <c r="F6" s="3">
        <f>F4+F5</f>
        <v/>
      </c>
      <c r="G6" s="3">
        <f>G4+G5</f>
        <v/>
      </c>
      <c r="H6" s="3">
        <f>SUM(B6:G6)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Account</t>
        </is>
      </c>
      <c r="B1" s="1" t="inlineStr">
        <is>
          <t>Opening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</row>
    <row r="2">
      <c r="A2" s="2" t="inlineStr">
        <is>
          <t>Cash</t>
        </is>
      </c>
      <c r="B2" s="2" t="n">
        <v>320000</v>
      </c>
      <c r="C2" s="2">
        <f>B2+5000</f>
        <v/>
      </c>
      <c r="D2" s="2">
        <f>B2+10000</f>
        <v/>
      </c>
      <c r="E2" s="2">
        <f>B2+15000</f>
        <v/>
      </c>
      <c r="F2" s="2">
        <f>B2+20000</f>
        <v/>
      </c>
      <c r="G2" s="2">
        <f>B2+25000</f>
        <v/>
      </c>
      <c r="H2" s="2">
        <f>B2+30000</f>
        <v/>
      </c>
    </row>
    <row r="3">
      <c r="A3" s="2" t="inlineStr">
        <is>
          <t>Accounts Receivable</t>
        </is>
      </c>
      <c r="B3" s="2" t="n">
        <v>95000</v>
      </c>
      <c r="C3" s="2">
        <f>B3+5000</f>
        <v/>
      </c>
      <c r="D3" s="2">
        <f>B3+10000</f>
        <v/>
      </c>
      <c r="E3" s="2">
        <f>B3+15000</f>
        <v/>
      </c>
      <c r="F3" s="2">
        <f>B3+20000</f>
        <v/>
      </c>
      <c r="G3" s="2">
        <f>B3+25000</f>
        <v/>
      </c>
      <c r="H3" s="2">
        <f>B3+30000</f>
        <v/>
      </c>
    </row>
    <row r="4">
      <c r="A4" s="2" t="inlineStr">
        <is>
          <t>Inventory</t>
        </is>
      </c>
      <c r="B4" s="2" t="n">
        <v>52000</v>
      </c>
      <c r="C4" s="2">
        <f>B4+5000</f>
        <v/>
      </c>
      <c r="D4" s="2">
        <f>B4+10000</f>
        <v/>
      </c>
      <c r="E4" s="2">
        <f>B4+15000</f>
        <v/>
      </c>
      <c r="F4" s="2">
        <f>B4+20000</f>
        <v/>
      </c>
      <c r="G4" s="2">
        <f>B4+25000</f>
        <v/>
      </c>
      <c r="H4" s="2">
        <f>B4+30000</f>
        <v/>
      </c>
    </row>
    <row r="5">
      <c r="A5" s="2" t="inlineStr">
        <is>
          <t>Accounts Payable</t>
        </is>
      </c>
      <c r="B5" s="2" t="n">
        <v>-48000</v>
      </c>
      <c r="C5" s="2">
        <f>B5+5000</f>
        <v/>
      </c>
      <c r="D5" s="2">
        <f>B5+10000</f>
        <v/>
      </c>
      <c r="E5" s="2">
        <f>B5+15000</f>
        <v/>
      </c>
      <c r="F5" s="2">
        <f>B5+20000</f>
        <v/>
      </c>
      <c r="G5" s="2">
        <f>B5+25000</f>
        <v/>
      </c>
      <c r="H5" s="2">
        <f>B5+30000</f>
        <v/>
      </c>
    </row>
    <row r="6">
      <c r="A6" s="2" t="inlineStr">
        <is>
          <t>Equity</t>
        </is>
      </c>
      <c r="B6" s="2" t="n">
        <v>-419000</v>
      </c>
      <c r="C6" s="2">
        <f>B6+5000</f>
        <v/>
      </c>
      <c r="D6" s="2">
        <f>B6+10000</f>
        <v/>
      </c>
      <c r="E6" s="2">
        <f>B6+15000</f>
        <v/>
      </c>
      <c r="F6" s="2">
        <f>B6+20000</f>
        <v/>
      </c>
      <c r="G6" s="2">
        <f>B6+25000</f>
        <v/>
      </c>
      <c r="H6" s="2">
        <f>B6+30000</f>
        <v/>
      </c>
    </row>
    <row r="7">
      <c r="A7" s="3" t="inlineStr">
        <is>
          <t>Balance Check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SUM(H2:H6)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Line Item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Total</t>
        </is>
      </c>
    </row>
    <row r="2">
      <c r="A2" s="2" t="inlineStr">
        <is>
          <t>Net Income</t>
        </is>
      </c>
      <c r="B2" s="2" t="n">
        <v>31000</v>
      </c>
      <c r="C2" s="2" t="n">
        <v>32200</v>
      </c>
      <c r="D2" s="2" t="n">
        <v>33400</v>
      </c>
      <c r="E2" s="2" t="n">
        <v>34600</v>
      </c>
      <c r="F2" s="2" t="n">
        <v>35800</v>
      </c>
      <c r="G2" s="2" t="n">
        <v>37000</v>
      </c>
      <c r="H2" s="2">
        <f>SUM(B2:G2)</f>
        <v/>
      </c>
    </row>
    <row r="3">
      <c r="A3" s="2" t="inlineStr">
        <is>
          <t>Depreciation</t>
        </is>
      </c>
      <c r="B3" s="2" t="n">
        <v>5000</v>
      </c>
      <c r="C3" s="2" t="n">
        <v>6200</v>
      </c>
      <c r="D3" s="2" t="n">
        <v>7400</v>
      </c>
      <c r="E3" s="2" t="n">
        <v>8600</v>
      </c>
      <c r="F3" s="2" t="n">
        <v>9800</v>
      </c>
      <c r="G3" s="2" t="n">
        <v>11000</v>
      </c>
      <c r="H3" s="2">
        <f>SUM(B3:G3)</f>
        <v/>
      </c>
    </row>
    <row r="4">
      <c r="A4" s="2" t="inlineStr">
        <is>
          <t>Working Capital Change</t>
        </is>
      </c>
      <c r="B4" s="2" t="n">
        <v>-12000</v>
      </c>
      <c r="C4" s="2" t="n">
        <v>-10800</v>
      </c>
      <c r="D4" s="2" t="n">
        <v>-9600</v>
      </c>
      <c r="E4" s="2" t="n">
        <v>-8400</v>
      </c>
      <c r="F4" s="2" t="n">
        <v>-7200</v>
      </c>
      <c r="G4" s="2" t="n">
        <v>-6000</v>
      </c>
      <c r="H4" s="2">
        <f>SUM(B4:G4)</f>
        <v/>
      </c>
    </row>
    <row r="5">
      <c r="A5" s="2" t="inlineStr">
        <is>
          <t>Capital Expenditures</t>
        </is>
      </c>
      <c r="B5" s="2" t="n">
        <v>-18000</v>
      </c>
      <c r="C5" s="2" t="n">
        <v>-16800</v>
      </c>
      <c r="D5" s="2" t="n">
        <v>-15600</v>
      </c>
      <c r="E5" s="2" t="n">
        <v>-14400</v>
      </c>
      <c r="F5" s="2" t="n">
        <v>-13200</v>
      </c>
      <c r="G5" s="2" t="n">
        <v>-12000</v>
      </c>
      <c r="H5" s="2">
        <f>SUM(B5:G5)</f>
        <v/>
      </c>
    </row>
    <row r="6">
      <c r="A6" s="3" t="inlineStr">
        <is>
          <t>Net Cash Flow</t>
        </is>
      </c>
      <c r="B6" s="3">
        <f>B2+B3+B4+B5</f>
        <v/>
      </c>
      <c r="C6" s="3">
        <f>C2+C3+C4+C5</f>
        <v/>
      </c>
      <c r="D6" s="3">
        <f>D2+D3+D4+D5</f>
        <v/>
      </c>
      <c r="E6" s="3">
        <f>E2+E3+E4+E5</f>
        <v/>
      </c>
      <c r="F6" s="3">
        <f>F2+F3+F4+F5</f>
        <v/>
      </c>
      <c r="G6" s="3">
        <f>G2+G3+G4+G5</f>
        <v/>
      </c>
      <c r="H6" s="3">
        <f>SUM(B6:G6)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2026-05-19T06:32:47Z</dcterms:created>
  <dcterms:modified xmlns:dcterms="http://purl.org/dc/terms/" xmlns:xsi="http://www.w3.org/2001/XMLSchema-instance" xsi:type="dcterms:W3CDTF">2026-05-19T06:32:47Z</dcterms:modified>
</cp:coreProperties>
</file>